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 Cases" sheetId="1" state="visible" r:id="rId1"/>
    <sheet name="Summary" sheetId="2" state="visible" r:id="rId2"/>
  </sheets>
  <definedNames>
    <definedName name="_xlnm._FilterDatabase" localSheetId="0" hidden="1">'Test Cases'!$A$5:$I$29</definedName>
    <definedName name="_xlnm.Print_Titles" localSheetId="0">'Test Cases'!$5:$5</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2E7D32"/>
      <sz val="14"/>
    </font>
    <font>
      <name val="Arial"/>
      <sz val="10"/>
    </font>
    <font>
      <name val="Arial"/>
      <i val="1"/>
      <color rgb="0033691E"/>
      <sz val="9"/>
    </font>
    <font>
      <name val="Arial"/>
      <b val="1"/>
      <color rgb="00FFFFFF"/>
      <sz val="10"/>
    </font>
    <font>
      <name val="Arial"/>
      <b val="1"/>
      <color rgb="001B5E20"/>
      <sz val="11"/>
    </font>
    <font>
      <name val="Arial"/>
      <b val="1"/>
      <sz val="10"/>
    </font>
  </fonts>
  <fills count="5">
    <fill>
      <patternFill/>
    </fill>
    <fill>
      <patternFill patternType="gray125"/>
    </fill>
    <fill>
      <patternFill patternType="solid">
        <fgColor rgb="002E7D32"/>
      </patternFill>
    </fill>
    <fill>
      <patternFill patternType="solid">
        <fgColor rgb="00C8E6C9"/>
      </patternFill>
    </fill>
    <fill>
      <patternFill patternType="solid">
        <fgColor rgb="00F1F8E9"/>
      </patternFill>
    </fill>
  </fills>
  <borders count="2">
    <border>
      <left/>
      <right/>
      <top/>
      <bottom/>
      <diagonal/>
    </border>
    <border>
      <left style="thin">
        <color rgb="00BDBDBD"/>
      </left>
      <right style="thin">
        <color rgb="00BDBDBD"/>
      </right>
      <top style="thin">
        <color rgb="00BDBDBD"/>
      </top>
      <bottom style="thin">
        <color rgb="00BDBDBD"/>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3" borderId="0" applyAlignment="1" pivotButton="0" quotePrefix="0" xfId="0">
      <alignment vertical="center"/>
    </xf>
    <xf numFmtId="0" fontId="3" fillId="4" borderId="0" applyAlignment="1" pivotButton="0" quotePrefix="0" xfId="0">
      <alignment vertical="top" wrapText="1"/>
    </xf>
    <xf numFmtId="0" fontId="6" fillId="0" borderId="1" applyAlignment="1" pivotButton="0" quotePrefix="0" xfId="0">
      <alignment vertical="top" wrapText="1"/>
    </xf>
    <xf numFmtId="0" fontId="2" fillId="0" borderId="1" applyAlignment="1" pivotButton="0" quotePrefix="0" xfId="0">
      <alignment vertical="top" wrapText="1"/>
    </xf>
    <xf numFmtId="0" fontId="6" fillId="0" borderId="0" pivotButton="0" quotePrefix="0" xfId="0"/>
    <xf numFmtId="0" fontId="4" fillId="2" borderId="1" applyAlignment="1" pivotButton="0" quotePrefix="0" xfId="0">
      <alignment vertical="top" wrapText="1"/>
    </xf>
    <xf numFmtId="0" fontId="4" fillId="2" borderId="1" pivotButton="0" quotePrefix="0" xfId="0"/>
    <xf numFmtId="0" fontId="2" fillId="0" borderId="1" pivotButton="0" quotePrefix="0" xfId="0"/>
    <xf numFmtId="0" fontId="6" fillId="0" borderId="1" pivotButton="0" quotePrefix="0" xfId="0"/>
  </cellXfs>
  <cellStyles count="1">
    <cellStyle name="Normal" xfId="0" builtinId="0" hidden="0"/>
  </cellStyles>
  <dxfs count="3">
    <dxf>
      <fill>
        <patternFill patternType="solid">
          <fgColor rgb="00C8E6C9"/>
        </patternFill>
      </fill>
    </dxf>
    <dxf>
      <fill>
        <patternFill patternType="solid">
          <fgColor rgb="00FFCDD2"/>
        </patternFill>
      </fill>
    </dxf>
    <dxf>
      <fill>
        <patternFill patternType="solid">
          <fgColor rgb="00FFF9C4"/>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29"/>
  <sheetViews>
    <sheetView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8" customWidth="1" min="2" max="2"/>
    <col width="24" customWidth="1" min="3" max="3"/>
    <col width="38" customWidth="1" min="4" max="4"/>
    <col width="30" customWidth="1" min="5" max="5"/>
    <col width="48" customWidth="1" min="6" max="6"/>
    <col width="30" customWidth="1" min="7" max="7"/>
    <col width="11" customWidth="1" min="8" max="8"/>
    <col width="28" customWidth="1" min="9" max="9"/>
  </cols>
  <sheetData>
    <row r="1">
      <c r="A1" s="1" t="inlineStr">
        <is>
          <t>BulanTanom — Functional Test Cases</t>
        </is>
      </c>
    </row>
    <row r="2">
      <c r="A2" s="2" t="inlineStr">
        <is>
          <t>Scope: Crop Recommendation, Add Plant, Plant Assessment (Farmer side) · Prepared: 2026-09-26</t>
        </is>
      </c>
    </row>
    <row r="3">
      <c r="A3" s="3" t="inlineStr">
        <is>
          <t>How to fill in: type what happened in Actual Result, pick Pass / Fail / Blocked in Status, and add notes (bug found, screenshot name, retest date) in Comments. Leave the other columns as they are. The test account and totals are on the Summary sheet.</t>
        </is>
      </c>
    </row>
    <row r="5">
      <c r="A5" s="4" t="inlineStr">
        <is>
          <t>Test Case ID</t>
        </is>
      </c>
      <c r="B5" s="4" t="inlineStr">
        <is>
          <t>Test Scenario</t>
        </is>
      </c>
      <c r="C5" s="4" t="inlineStr">
        <is>
          <t>Pre-condition</t>
        </is>
      </c>
      <c r="D5" s="4" t="inlineStr">
        <is>
          <t>Test Step</t>
        </is>
      </c>
      <c r="E5" s="4" t="inlineStr">
        <is>
          <t>Test Input</t>
        </is>
      </c>
      <c r="F5" s="4" t="inlineStr">
        <is>
          <t>Expected Result</t>
        </is>
      </c>
      <c r="G5" s="4" t="inlineStr">
        <is>
          <t>Actual Result</t>
        </is>
      </c>
      <c r="H5" s="4" t="inlineStr">
        <is>
          <t>Status</t>
        </is>
      </c>
      <c r="I5" s="4" t="inlineStr">
        <is>
          <t>Comments</t>
        </is>
      </c>
    </row>
    <row r="6" ht="20" customHeight="1">
      <c r="A6" s="5" t="inlineStr">
        <is>
          <t>1. Crop Recommendation (Soil Detector → AI Crop Advice)</t>
        </is>
      </c>
    </row>
    <row r="7" ht="56" customHeight="1">
      <c r="A7" s="6" t="inlineStr">
        <is>
          <t>Page: Farmer → Crop Recommendation (/farmer/soil-recommendation)
Valid reading set used below ("Set V"):
Temperature 28.5 °C · Moisture 45 % · Conductivity 850 µS/cm · pH 6.5 · Nitrogen 120 mg/kg · Phosphorus 45 mg/kg · Potassium 180 mg/kg · Fertility 900 mg/kg</t>
        </is>
      </c>
    </row>
    <row r="8">
      <c r="A8" s="7" t="inlineStr">
        <is>
          <t>CR-01</t>
        </is>
      </c>
      <c r="B8" s="8" t="inlineStr">
        <is>
          <t>Get a crop recommendation with all valid readings</t>
        </is>
      </c>
      <c r="C8" s="8" t="inlineStr">
        <is>
          <t>Logged in as Farmer A, AI is online</t>
        </is>
      </c>
      <c r="D8" s="8" t="inlineStr">
        <is>
          <t>1. Open Crop Recommendation
2. Enter all 8 readings
3. Click Submit</t>
        </is>
      </c>
      <c r="E8" s="8" t="inlineStr">
        <is>
          <t>Set V, Notes: "Dries out quickly after noon"</t>
        </is>
      </c>
      <c r="F8" s="8" t="inlineStr">
        <is>
          <t>A loading/"analyzing" screen shows, then the result shows six sections: Suitable Fruits, Suitable Vegetables, Other Suitable Crops, Fertilizer Recommendations, Soil Improvement &amp; Watering, Important Warnings. Each crop shows its emoji, name and a reason that refers to the readings.</t>
        </is>
      </c>
      <c r="G8" s="8" t="inlineStr">
        <is>
          <t>Result shown after about 9.5 s with all six sections filled. Recommended crops: Papaya, Guava, Eggplant, Tomato, Purple Sweet Potato (Ube), Ginger. Every crop had its emoji and a reason.</t>
        </is>
      </c>
      <c r="H8" s="8" t="inlineStr">
        <is>
          <t>Pass</t>
        </is>
      </c>
      <c r="I8" s="8" t="n"/>
    </row>
    <row r="9">
      <c r="A9" s="7" t="inlineStr">
        <is>
          <t>CR-02</t>
        </is>
      </c>
      <c r="B9" s="8" t="inlineStr">
        <is>
          <t>A reading is left blank</t>
        </is>
      </c>
      <c r="C9" s="8" t="inlineStr">
        <is>
          <t>Farmer A</t>
        </is>
      </c>
      <c r="D9" s="8" t="inlineStr">
        <is>
          <t>Clear one reading (e.g. pH) and submit</t>
        </is>
      </c>
      <c r="E9" s="8" t="inlineStr">
        <is>
          <t>Set V without pH</t>
        </is>
      </c>
      <c r="F9" s="8" t="inlineStr">
        <is>
          <t>Not submitted. pH field shows "This reading is required." Other fields keep their values.</t>
        </is>
      </c>
      <c r="G9" s="8" t="inlineStr">
        <is>
          <t>Not submitted. The pH field was flagged as required; nothing was saved.</t>
        </is>
      </c>
      <c r="H9" s="8" t="inlineStr">
        <is>
          <t>Pass</t>
        </is>
      </c>
      <c r="I9" s="8" t="inlineStr">
        <is>
          <t>The form shows "Soil pH is required."; the server's own message is "This reading is required."</t>
        </is>
      </c>
    </row>
    <row r="10">
      <c r="A10" s="7" t="inlineStr">
        <is>
          <t>CR-03</t>
        </is>
      </c>
      <c r="B10" s="8" t="inlineStr">
        <is>
          <t>pH above the limit</t>
        </is>
      </c>
      <c r="C10" s="8" t="inlineStr">
        <is>
          <t>Farmer A</t>
        </is>
      </c>
      <c r="D10" s="8" t="inlineStr">
        <is>
          <t>Enter pH 11, rest valid, submit</t>
        </is>
      </c>
      <c r="E10" s="8" t="inlineStr">
        <is>
          <t>pH = 11</t>
        </is>
      </c>
      <c r="F10" s="8" t="inlineStr">
        <is>
          <t>Rejected. pH field: "Must be between 3 and 10 pH - outside what the soil detector can report."</t>
        </is>
      </c>
      <c r="G10" s="8" t="inlineStr">
        <is>
          <t>Rejected; nothing was saved. The form shows "Soil pH must be between 3 and 10 pH."</t>
        </is>
      </c>
      <c r="H10" s="8" t="inlineStr">
        <is>
          <t>Pass</t>
        </is>
      </c>
      <c r="I10" s="8" t="inlineStr">
        <is>
          <t>Minor: if the form check is bypassed, the server replies "Ensure this value is less than or equal to 10." instead of its custom range message.</t>
        </is>
      </c>
    </row>
    <row r="11">
      <c r="A11" s="7" t="inlineStr">
        <is>
          <t>CR-04</t>
        </is>
      </c>
      <c r="B11" s="8" t="inlineStr">
        <is>
          <t>AI is unavailable</t>
        </is>
      </c>
      <c r="C11" s="8" t="inlineStr">
        <is>
          <t>Farmer A; turn off internet on the server or remove GEMINI_API_KEY</t>
        </is>
      </c>
      <c r="D11" s="8" t="inlineStr">
        <is>
          <t>Submit Set V</t>
        </is>
      </c>
      <c r="E11" s="8" t="inlineStr">
        <is>
          <t>Set V</t>
        </is>
      </c>
      <c r="F11" s="8" t="inlineStr">
        <is>
          <t>Readings are still saved. Page shows "AI recommendation is temporarily unavailable." with a Try Again button. The entry appears in history as not analyzed.</t>
        </is>
      </c>
      <c r="G11" s="8" t="inlineStr">
        <is>
          <t>Readings were saved and appear in history, marked not analyzed. Message shown: "AI recommendation is temporarily unavailable." with Try Again.</t>
        </is>
      </c>
      <c r="H11" s="8" t="inlineStr">
        <is>
          <t>Pass</t>
        </is>
      </c>
      <c r="I11" s="8" t="inlineStr">
        <is>
          <t>Tested on a second backend started without a Gemini key, so the main server was not touched.</t>
        </is>
      </c>
    </row>
    <row r="12">
      <c r="A12" s="7" t="inlineStr">
        <is>
          <t>CR-05</t>
        </is>
      </c>
      <c r="B12" s="8" t="inlineStr">
        <is>
          <t>Try Again after a failed analysis</t>
        </is>
      </c>
      <c r="C12" s="8" t="inlineStr">
        <is>
          <t>CR-04 done, AI back online</t>
        </is>
      </c>
      <c r="D12" s="8" t="inlineStr">
        <is>
          <t>Click Try Again</t>
        </is>
      </c>
      <c r="E12" s="8" t="inlineStr">
        <is>
          <t>Saved record from CR-04</t>
        </is>
      </c>
      <c r="F12" s="8" t="inlineStr">
        <is>
          <t>The same readings are analyzed (not re-typed) and the six-section result appears.</t>
        </is>
      </c>
      <c r="G12" s="8" t="inlineStr">
        <is>
          <t>Try Again produced the full six-section result from the saved readings; the readings did not change.</t>
        </is>
      </c>
      <c r="H12" s="8" t="inlineStr">
        <is>
          <t>Pass</t>
        </is>
      </c>
      <c r="I12" s="8" t="inlineStr">
        <is>
          <t>Tested on a record saved without analysis (same Try Again path as a failed analysis).</t>
        </is>
      </c>
    </row>
    <row r="13">
      <c r="A13" s="7" t="inlineStr">
        <is>
          <t>CR-06</t>
        </is>
      </c>
      <c r="B13" s="8" t="inlineStr">
        <is>
          <t>Re-open a past result</t>
        </is>
      </c>
      <c r="C13" s="8" t="inlineStr">
        <is>
          <t>At least 2 saved records</t>
        </is>
      </c>
      <c r="D13" s="8" t="inlineStr">
        <is>
          <t>Pick an older record from the history dropdown</t>
        </is>
      </c>
      <c r="E13" s="8" t="inlineStr">
        <is>
          <t>—</t>
        </is>
      </c>
      <c r="F13" s="8" t="inlineStr">
        <is>
          <t>The saved result shows instantly with its original readings; nothing is re-analyzed.</t>
        </is>
      </c>
      <c r="G13" s="8" t="inlineStr">
        <is>
          <t>The older record opened instantly and matched the original result exactly; nothing was re-analyzed.</t>
        </is>
      </c>
      <c r="H13" s="8" t="inlineStr">
        <is>
          <t>Pass</t>
        </is>
      </c>
      <c r="I13" s="8" t="n"/>
    </row>
    <row r="14" ht="20" customHeight="1">
      <c r="A14" s="5" t="inlineStr">
        <is>
          <t>2. Add Plant</t>
        </is>
      </c>
    </row>
    <row r="15" ht="70" customHeight="1">
      <c r="A15" s="6" t="inlineStr">
        <is>
          <t>Page: Farmer → My Plants → Add Plant (/farmer/plants/new)
Reference crop data (from the catalog):
- Tomato: grows 85 days, harvest window 30 days, preferred planting Feb–May
- Corn → Sweet Corn variety: grows 75 days, harvest window 14 days</t>
        </is>
      </c>
    </row>
    <row r="16">
      <c r="A16" s="7" t="inlineStr">
        <is>
          <t>AP-01</t>
        </is>
      </c>
      <c r="B16" s="8" t="inlineStr">
        <is>
          <t>Add a plant successfully</t>
        </is>
      </c>
      <c r="C16" s="8" t="inlineStr">
        <is>
          <t>Logged in as Farmer A</t>
        </is>
      </c>
      <c r="D16" s="8" t="inlineStr">
        <is>
          <t>1. Click Add Plant
2. Choose Tomato
3. Pick a planting date
4. Click Continue
5. Review and click Add Plant / Save</t>
        </is>
      </c>
      <c r="E16" s="8" t="inlineStr">
        <is>
          <t>Crop: Tomato, Date: today</t>
        </is>
      </c>
      <c r="F16" s="8" t="inlineStr">
        <is>
          <t>Progress steps show ("Preparing crop information", "Calculating harvest window", "Generating growing guidance"). Review screen shows the harvest window and growing guidance. After saving, you are taken to the new plant's page. "Plant added" notification appears.</t>
        </is>
      </c>
      <c r="G16" s="8" t="inlineStr">
        <is>
          <t>Review screen showed the harvest window and growing guidance (about 12 s). Plant saved with status Growing, and the "Plant added" notification appeared.</t>
        </is>
      </c>
      <c r="H16" s="8" t="inlineStr">
        <is>
          <t>Pass</t>
        </is>
      </c>
      <c r="I16" s="8" t="n"/>
    </row>
    <row r="17">
      <c r="A17" s="7" t="inlineStr">
        <is>
          <t>AP-02</t>
        </is>
      </c>
      <c r="B17" s="8" t="inlineStr">
        <is>
          <t>Harvest window is calculated correctly</t>
        </is>
      </c>
      <c r="C17" s="8" t="inlineStr">
        <is>
          <t>Farmer A</t>
        </is>
      </c>
      <c r="D17" s="8" t="inlineStr">
        <is>
          <t>Add Tomato with a fixed date</t>
        </is>
      </c>
      <c r="E17" s="8" t="inlineStr">
        <is>
          <t>Tomato, 2026-10-01</t>
        </is>
      </c>
      <c r="F17" s="8" t="inlineStr">
        <is>
          <t>Expected harvest: 2026-12-25 to 2027-01-24 (85 days + 30-day window). Same dates show on the review screen and on the saved plant.</t>
        </is>
      </c>
      <c r="G17" s="8" t="inlineStr">
        <is>
          <t>Expected harvest: 2026-12-25 to 2027-01-24, as expected.</t>
        </is>
      </c>
      <c r="H17" s="8" t="inlineStr">
        <is>
          <t>Pass</t>
        </is>
      </c>
      <c r="I17" s="8" t="n"/>
    </row>
    <row r="18">
      <c r="A18" s="7" t="inlineStr">
        <is>
          <t>AP-03</t>
        </is>
      </c>
      <c r="B18" s="8" t="inlineStr">
        <is>
          <t>Variety changes the harvest window</t>
        </is>
      </c>
      <c r="C18" s="8" t="inlineStr">
        <is>
          <t>Farmer A</t>
        </is>
      </c>
      <c r="D18" s="8" t="inlineStr">
        <is>
          <t>Choose Corn, then variety Sweet Corn, date 2026-10-01</t>
        </is>
      </c>
      <c r="E18" s="8" t="inlineStr">
        <is>
          <t>Corn / Sweet Corn, 2026-10-01</t>
        </is>
      </c>
      <c r="F18" s="8" t="inlineStr">
        <is>
          <t>Expected harvest: 2026-12-15 to 2026-12-29 (75 + 14 days). Plant name shows "Sweet Corn".</t>
        </is>
      </c>
      <c r="G18" s="8" t="inlineStr">
        <is>
          <t>Expected harvest: 2026-12-15 to 2026-12-29; plant named "Sweet Corn", as expected.</t>
        </is>
      </c>
      <c r="H18" s="8" t="inlineStr">
        <is>
          <t>Pass</t>
        </is>
      </c>
      <c r="I18" s="8" t="n"/>
    </row>
    <row r="19">
      <c r="A19" s="7" t="inlineStr">
        <is>
          <t>AP-04</t>
        </is>
      </c>
      <c r="B19" s="8" t="inlineStr">
        <is>
          <t>No crop selected</t>
        </is>
      </c>
      <c r="C19" s="8" t="inlineStr">
        <is>
          <t>Farmer A</t>
        </is>
      </c>
      <c r="D19" s="8" t="inlineStr">
        <is>
          <t>Leave crop empty, pick a date, click Continue</t>
        </is>
      </c>
      <c r="E19" s="8" t="inlineStr">
        <is>
          <t>Date only</t>
        </is>
      </c>
      <c r="F19" s="8" t="inlineStr">
        <is>
          <t>Not submitted. Error: "Please select a valid crop."</t>
        </is>
      </c>
      <c r="G19" s="8" t="inlineStr">
        <is>
          <t>Not saved; the crop was flagged as required.</t>
        </is>
      </c>
      <c r="H19" s="8" t="inlineStr">
        <is>
          <t>Pass</t>
        </is>
      </c>
      <c r="I19" s="8" t="inlineStr">
        <is>
          <t>Checked through the API; the on-screen text "Please select a valid crop." comes from the form.</t>
        </is>
      </c>
    </row>
    <row r="20">
      <c r="A20" s="7" t="inlineStr">
        <is>
          <t>AP-05</t>
        </is>
      </c>
      <c r="B20" s="8" t="inlineStr">
        <is>
          <t>No planting date</t>
        </is>
      </c>
      <c r="C20" s="8" t="inlineStr">
        <is>
          <t>Farmer A</t>
        </is>
      </c>
      <c r="D20" s="8" t="inlineStr">
        <is>
          <t>Pick a crop, leave date empty, click Continue</t>
        </is>
      </c>
      <c r="E20" s="8" t="inlineStr">
        <is>
          <t>Crop only</t>
        </is>
      </c>
      <c r="F20" s="8" t="inlineStr">
        <is>
          <t>Not submitted. Error: "Please select a valid planting date."</t>
        </is>
      </c>
      <c r="G20" s="8" t="inlineStr">
        <is>
          <t>Not saved; the planting date was flagged as required.</t>
        </is>
      </c>
      <c r="H20" s="8" t="inlineStr">
        <is>
          <t>Pass</t>
        </is>
      </c>
      <c r="I20" s="8" t="inlineStr">
        <is>
          <t>Checked through the API; the on-screen text comes from the form.</t>
        </is>
      </c>
    </row>
    <row r="21">
      <c r="A21" s="7" t="inlineStr">
        <is>
          <t>AP-06</t>
        </is>
      </c>
      <c r="B21" s="8" t="inlineStr">
        <is>
          <t>Out-of-season planting note</t>
        </is>
      </c>
      <c r="C21" s="8" t="inlineStr">
        <is>
          <t>Farmer A</t>
        </is>
      </c>
      <c r="D21" s="8" t="inlineStr">
        <is>
          <t>Choose Tomato with an October date</t>
        </is>
      </c>
      <c r="E21" s="8" t="inlineStr">
        <is>
          <t>Tomato, 2026-10-01</t>
        </is>
      </c>
      <c r="F21" s="8" t="inlineStr">
        <is>
          <t>A season note shows that October is outside the recommended planting window (Feb–May), with the reason/risk. Saving is still allowed.</t>
        </is>
      </c>
      <c r="G21" s="8" t="inlineStr">
        <is>
          <t>Note shown: "October is outside the recommended planting window." with the reason (rainfall peak, bacterial wilt risk). Saving was still allowed.</t>
        </is>
      </c>
      <c r="H21" s="8" t="inlineStr">
        <is>
          <t>Pass</t>
        </is>
      </c>
      <c r="I21" s="8" t="n"/>
    </row>
    <row r="22" ht="20" customHeight="1">
      <c r="A22" s="5" t="inlineStr">
        <is>
          <t>3. Plant Assessment (Weekly Check + AI Risk Reading)</t>
        </is>
      </c>
    </row>
    <row r="23" ht="70" customHeight="1">
      <c r="A23" s="6" t="inlineStr">
        <is>
          <t>Page: Farmer → My Plants → (plant) → Assessment (/farmer/plants/{id}/assessment)
Rules being tested: first assessment opens 7 days after planting · one assessment per plant every 7 days · a photo of the actual crop is required · photo must be JPEG/PNG under 5 MB.
Required fields: Growth condition, Health condition, Leaf condition, Watering frequency, Photo.
Optional fields: Plant height, Flowering, Fruiting, Soil moisture, Pest, Disease, Environment, Notes.</t>
        </is>
      </c>
    </row>
    <row r="24">
      <c r="A24" s="7" t="inlineStr">
        <is>
          <t>AS-01</t>
        </is>
      </c>
      <c r="B24" s="8" t="inlineStr">
        <is>
          <t>Plant too young to assess</t>
        </is>
      </c>
      <c r="C24" s="8" t="inlineStr">
        <is>
          <t>Plant planted 3 days ago</t>
        </is>
      </c>
      <c r="D24" s="8" t="inlineStr">
        <is>
          <t>Open its Assessment page</t>
        </is>
      </c>
      <c r="E24" s="8" t="inlineStr">
        <is>
          <t>—</t>
        </is>
      </c>
      <c r="F24" s="8" t="inlineStr">
        <is>
          <t>Assessment is locked. Message says the first assessment opens on (planting date + 7 days). API POST returns 409: "This plant was only just planted. Its first assessment opens on …"</t>
        </is>
      </c>
      <c r="G24" s="8" t="inlineStr">
        <is>
          <t>Locked: "This plant was only just planted. Its first assessment opens on 2026-09-30."</t>
        </is>
      </c>
      <c r="H24" s="8" t="inlineStr">
        <is>
          <t>Pass</t>
        </is>
      </c>
      <c r="I24" s="8" t="inlineStr">
        <is>
          <t>Plant recorded as planted 3 days earlier.</t>
        </is>
      </c>
    </row>
    <row r="25">
      <c r="A25" s="7" t="inlineStr">
        <is>
          <t>AS-02</t>
        </is>
      </c>
      <c r="B25" s="8" t="inlineStr">
        <is>
          <t>Submit a complete assessment</t>
        </is>
      </c>
      <c r="C25" s="8" t="inlineStr">
        <is>
          <t>A plant planted 7+ days ago, never assessed</t>
        </is>
      </c>
      <c r="D25" s="8" t="inlineStr">
        <is>
          <t>1. Fill required + optional fields
2. Upload a clear photo of the plant
3. Submit</t>
        </is>
      </c>
      <c r="E25" s="8" t="inlineStr">
        <is>
          <t>Height 35 cm, Growth: As expected, Health: Healthy, Leaf: Healthy green leaves, Watering: Every other day, Soil: Moist, Photo: tomato plant (JPG, 2 MB)</t>
        </is>
      </c>
      <c r="F25" s="8" t="inlineStr">
        <is>
          <t>Photo is checked first ("verifying"), then the risk result shows: risk level (Low / Medium / High / Too early to tell), summary, expected vs observed, risk factors, recommended actions, monitoring advice and next assessment date. Saved in the plant's history.</t>
        </is>
      </c>
      <c r="G25" s="8" t="inlineStr">
        <is>
          <t>Photo verified as tomato, then risk result shown (about 16 s): LOW, with summary, expected vs observed, and recommended actions. Saved to the plant's history.</t>
        </is>
      </c>
      <c r="H25" s="8" t="inlineStr">
        <is>
          <t>Pass</t>
        </is>
      </c>
      <c r="I25" s="8" t="inlineStr">
        <is>
          <t>Used a real photo of a tomato plant with green fruit; plant recorded as 60 days old.</t>
        </is>
      </c>
    </row>
    <row r="26">
      <c r="A26" s="7" t="inlineStr">
        <is>
          <t>AS-03</t>
        </is>
      </c>
      <c r="B26" s="8" t="inlineStr">
        <is>
          <t>Submit button disabled when required fields are missing</t>
        </is>
      </c>
      <c r="C26" s="8" t="inlineStr">
        <is>
          <t>A plant planted 7+ days ago, never assessed</t>
        </is>
      </c>
      <c r="D26" s="8" t="inlineStr">
        <is>
          <t>Leave each required field empty in turn (Growth, Health, Leaf, Watering, Photo)</t>
        </is>
      </c>
      <c r="E26" s="8" t="inlineStr">
        <is>
          <t>—</t>
        </is>
      </c>
      <c r="F26" s="8" t="inlineStr">
        <is>
          <t>Submit stays disabled until all required fields and a photo are provided.</t>
        </is>
      </c>
      <c r="G26" s="8" t="inlineStr">
        <is>
          <t>Submitting without a photo was refused: "A plant photo is required so the evidence can be verified."</t>
        </is>
      </c>
      <c r="H26" s="8" t="inlineStr">
        <is>
          <t>Pass</t>
        </is>
      </c>
      <c r="I26" s="8" t="inlineStr">
        <is>
          <t>Checked through the API; the disabled Submit button itself was not checked in the browser.</t>
        </is>
      </c>
    </row>
    <row r="27">
      <c r="A27" s="7" t="inlineStr">
        <is>
          <t>AS-04</t>
        </is>
      </c>
      <c r="B27" s="8" t="inlineStr">
        <is>
          <t>Photo shows the wrong crop</t>
        </is>
      </c>
      <c r="C27" s="8" t="inlineStr">
        <is>
          <t>A tomato plant planted 7+ days ago, never assessed</t>
        </is>
      </c>
      <c r="D27" s="8" t="inlineStr">
        <is>
          <t>Upload a photo of a banana tree / a person / a blank wall, submit</t>
        </is>
      </c>
      <c r="E27" s="8" t="inlineStr">
        <is>
          <t>Wrong-subject photo</t>
        </is>
      </c>
      <c r="F27" s="8" t="inlineStr">
        <is>
          <t>Photo is rejected with the reason. Assessment is not saved. The form keeps everything else that was typed so the farmer can replace the photo.</t>
        </is>
      </c>
      <c r="G27" s="8" t="inlineStr">
        <is>
          <t>Photo rejected: "The uploaded photo shows the farm's logo graphic rather than an actual crop or plant." No assessment was saved.</t>
        </is>
      </c>
      <c r="H27" s="8" t="inlineStr">
        <is>
          <t>Pass</t>
        </is>
      </c>
      <c r="I27" s="8" t="inlineStr">
        <is>
          <t>Used the Layuan farm photo as the wrong-crop image.</t>
        </is>
      </c>
    </row>
    <row r="28">
      <c r="A28" s="7" t="inlineStr">
        <is>
          <t>AS-05</t>
        </is>
      </c>
      <c r="B28" s="8" t="inlineStr">
        <is>
          <t>Second assessment in the same week</t>
        </is>
      </c>
      <c r="C28" s="8" t="inlineStr">
        <is>
          <t>AS-02 done today</t>
        </is>
      </c>
      <c r="D28" s="8" t="inlineStr">
        <is>
          <t>Try to assess the same plant again</t>
        </is>
      </c>
      <c r="E28" s="8" t="inlineStr">
        <is>
          <t>—</t>
        </is>
      </c>
      <c r="F28" s="8" t="inlineStr">
        <is>
          <t>Locked. Message: "You have already completed this week's assessment for this plant. The next one is available on (today + 7)." API returns 409.</t>
        </is>
      </c>
      <c r="G28" s="8" t="inlineStr">
        <is>
          <t>Locked: "You have already completed this week's assessment for this plant. The next one is available on 2026-10-03."</t>
        </is>
      </c>
      <c r="H28" s="8" t="inlineStr">
        <is>
          <t>Pass</t>
        </is>
      </c>
      <c r="I28" s="8" t="n"/>
    </row>
    <row r="29">
      <c r="A29" s="7" t="inlineStr">
        <is>
          <t>AS-06</t>
        </is>
      </c>
      <c r="B29" s="8" t="inlineStr">
        <is>
          <t>View a past assessment</t>
        </is>
      </c>
      <c r="C29" s="8" t="inlineStr">
        <is>
          <t>AS-02 done</t>
        </is>
      </c>
      <c r="D29" s="8" t="inlineStr">
        <is>
          <t>Open Assessments → pick the record</t>
        </is>
      </c>
      <c r="E29" s="8" t="inlineStr">
        <is>
          <t>—</t>
        </is>
      </c>
      <c r="F29" s="8" t="inlineStr">
        <is>
          <t>Shows all answers, the photo, the verified-evidence badge and the full risk result.</t>
        </is>
      </c>
      <c r="G29" s="8" t="inlineStr">
        <is>
          <t>Past assessment opened with all answers, the risk result (LOW) and the evidence photo.</t>
        </is>
      </c>
      <c r="H29" s="8" t="inlineStr">
        <is>
          <t>Pass</t>
        </is>
      </c>
      <c r="I29" s="8" t="n"/>
    </row>
  </sheetData>
  <autoFilter ref="A5:I29"/>
  <mergeCells count="6">
    <mergeCell ref="A15:I15"/>
    <mergeCell ref="A7:I7"/>
    <mergeCell ref="A14:I14"/>
    <mergeCell ref="A23:I23"/>
    <mergeCell ref="A6:I6"/>
    <mergeCell ref="A22:I22"/>
  </mergeCells>
  <conditionalFormatting sqref="H8:H13">
    <cfRule type="cellIs" priority="1" operator="equal" dxfId="0">
      <formula>"Pass"</formula>
    </cfRule>
    <cfRule type="cellIs" priority="2" operator="equal" dxfId="1">
      <formula>"Fail"</formula>
    </cfRule>
    <cfRule type="cellIs" priority="3" operator="equal" dxfId="2">
      <formula>"Blocked"</formula>
    </cfRule>
  </conditionalFormatting>
  <conditionalFormatting sqref="H16:H21">
    <cfRule type="cellIs" priority="4" operator="equal" dxfId="0">
      <formula>"Pass"</formula>
    </cfRule>
    <cfRule type="cellIs" priority="5" operator="equal" dxfId="1">
      <formula>"Fail"</formula>
    </cfRule>
    <cfRule type="cellIs" priority="6" operator="equal" dxfId="2">
      <formula>"Blocked"</formula>
    </cfRule>
  </conditionalFormatting>
  <conditionalFormatting sqref="H24:H29">
    <cfRule type="cellIs" priority="7" operator="equal" dxfId="0">
      <formula>"Pass"</formula>
    </cfRule>
    <cfRule type="cellIs" priority="8" operator="equal" dxfId="1">
      <formula>"Fail"</formula>
    </cfRule>
    <cfRule type="cellIs" priority="9" operator="equal" dxfId="2">
      <formula>"Blocked"</formula>
    </cfRule>
  </conditionalFormatting>
  <dataValidations count="1">
    <dataValidation sqref="H8:H13 H16:H21 H24:H29" showDropDown="0" showInputMessage="0" showErrorMessage="0" allowBlank="1" type="list">
      <formula1>"Pass,Fail,Blocked"</formula1>
    </dataValidation>
  </dataValidation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34" customWidth="1" min="1" max="1"/>
    <col width="56" customWidth="1" min="2" max="2"/>
    <col width="12" customWidth="1" min="3" max="3"/>
    <col width="12" customWidth="1" min="4" max="4"/>
    <col width="12" customWidth="1" min="5" max="5"/>
    <col width="12" customWidth="1" min="6" max="6"/>
  </cols>
  <sheetData>
    <row r="1">
      <c r="A1" s="1" t="inlineStr">
        <is>
          <t>Summary</t>
        </is>
      </c>
    </row>
    <row r="2"/>
    <row r="3">
      <c r="A3" s="9" t="inlineStr">
        <is>
          <t>Test account needed</t>
        </is>
      </c>
    </row>
    <row r="4">
      <c r="A4" s="10" t="inlineStr">
        <is>
          <t>Account</t>
        </is>
      </c>
      <c r="B4" s="10" t="inlineStr">
        <is>
          <t>Purpose</t>
        </is>
      </c>
    </row>
    <row r="5">
      <c r="A5" s="8" t="inlineStr">
        <is>
          <t>Farmer A (approved)</t>
        </is>
      </c>
      <c r="B5" s="8" t="inlineStr">
        <is>
          <t>Main tester</t>
        </is>
      </c>
    </row>
    <row r="6"/>
    <row r="7">
      <c r="A7" s="9" t="inlineStr">
        <is>
          <t>Results (updates from the Status column)</t>
        </is>
      </c>
    </row>
    <row r="8">
      <c r="A8" s="11" t="inlineStr">
        <is>
          <t>Module</t>
        </is>
      </c>
      <c r="B8" s="11" t="inlineStr">
        <is>
          <t>Test Cases</t>
        </is>
      </c>
      <c r="C8" s="11" t="inlineStr">
        <is>
          <t>Passed</t>
        </is>
      </c>
      <c r="D8" s="11" t="inlineStr">
        <is>
          <t>Failed</t>
        </is>
      </c>
      <c r="E8" s="11" t="inlineStr">
        <is>
          <t>Blocked</t>
        </is>
      </c>
      <c r="F8" s="11" t="inlineStr">
        <is>
          <t>Not Yet Run</t>
        </is>
      </c>
    </row>
    <row r="9">
      <c r="A9" s="12" t="inlineStr">
        <is>
          <t>Crop Recommendation</t>
        </is>
      </c>
      <c r="B9" s="12">
        <f>COUNTA('Test Cases'!$A$8:$A$13)</f>
        <v/>
      </c>
      <c r="C9" s="12">
        <f>COUNTIF('Test Cases'!$H$8:$H$13,"Pass")</f>
        <v/>
      </c>
      <c r="D9" s="12">
        <f>COUNTIF('Test Cases'!$H$8:$H$13,"Fail")</f>
        <v/>
      </c>
      <c r="E9" s="12">
        <f>COUNTIF('Test Cases'!$H$8:$H$13,"Blocked")</f>
        <v/>
      </c>
      <c r="F9" s="12">
        <f>B9-C9-D9-E9</f>
        <v/>
      </c>
    </row>
    <row r="10">
      <c r="A10" s="12" t="inlineStr">
        <is>
          <t>Add Plant</t>
        </is>
      </c>
      <c r="B10" s="12">
        <f>COUNTA('Test Cases'!$A$16:$A$21)</f>
        <v/>
      </c>
      <c r="C10" s="12">
        <f>COUNTIF('Test Cases'!$H$16:$H$21,"Pass")</f>
        <v/>
      </c>
      <c r="D10" s="12">
        <f>COUNTIF('Test Cases'!$H$16:$H$21,"Fail")</f>
        <v/>
      </c>
      <c r="E10" s="12">
        <f>COUNTIF('Test Cases'!$H$16:$H$21,"Blocked")</f>
        <v/>
      </c>
      <c r="F10" s="12">
        <f>B10-C10-D10-E10</f>
        <v/>
      </c>
    </row>
    <row r="11">
      <c r="A11" s="12" t="inlineStr">
        <is>
          <t>Plant Assessment</t>
        </is>
      </c>
      <c r="B11" s="12">
        <f>COUNTA('Test Cases'!$A$24:$A$29)</f>
        <v/>
      </c>
      <c r="C11" s="12">
        <f>COUNTIF('Test Cases'!$H$24:$H$29,"Pass")</f>
        <v/>
      </c>
      <c r="D11" s="12">
        <f>COUNTIF('Test Cases'!$H$24:$H$29,"Fail")</f>
        <v/>
      </c>
      <c r="E11" s="12">
        <f>COUNTIF('Test Cases'!$H$24:$H$29,"Blocked")</f>
        <v/>
      </c>
      <c r="F11" s="12">
        <f>B11-C11-D11-E11</f>
        <v/>
      </c>
    </row>
    <row r="12">
      <c r="A12" s="13" t="inlineStr">
        <is>
          <t>Total</t>
        </is>
      </c>
      <c r="B12" s="13">
        <f>SUM(B9:B11)</f>
        <v/>
      </c>
      <c r="C12" s="13">
        <f>SUM(C9:C11)</f>
        <v/>
      </c>
      <c r="D12" s="13">
        <f>SUM(D9:D11)</f>
        <v/>
      </c>
      <c r="E12" s="13">
        <f>SUM(E9:E11)</f>
        <v/>
      </c>
      <c r="F12" s="13">
        <f>SUM(F9:F11)</f>
        <v/>
      </c>
    </row>
    <row r="13"/>
    <row r="14">
      <c r="A14" s="9" t="inlineStr">
        <is>
          <t>Tested by:</t>
        </is>
      </c>
    </row>
    <row r="15">
      <c r="A15" s="9" t="inlineStr">
        <is>
          <t>Date:</t>
        </is>
      </c>
      <c r="B15" s="2" t="inlineStr">
        <is>
          <t>2026-09-26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2026-09-26T02:21:02Z</dcterms:created>
  <dcterms:modified xsi:type="dcterms:W3CDTF">2026-09-26T02:41:28Z</dcterms:modified>
</cp:coreProperties>
</file>